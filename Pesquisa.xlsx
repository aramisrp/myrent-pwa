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.gemini\antigravity\playground\inner-halo\"/>
    </mc:Choice>
  </mc:AlternateContent>
  <xr:revisionPtr revIDLastSave="0" documentId="13_ncr:1_{F0972E42-7162-42B8-8E71-45B7357A198B}" xr6:coauthVersionLast="47" xr6:coauthVersionMax="47" xr10:uidLastSave="{00000000-0000-0000-0000-000000000000}"/>
  <bookViews>
    <workbookView xWindow="-108" yWindow="-108" windowWidth="23256" windowHeight="12456" xr2:uid="{12F9308C-8107-48D4-A14F-1ABAE6002B0D}"/>
  </bookViews>
  <sheets>
    <sheet name="Planilha1" sheetId="1" r:id="rId1"/>
    <sheet name="Planilh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4" i="1" l="1"/>
  <c r="M5" i="1"/>
  <c r="M6" i="1"/>
  <c r="M7" i="1"/>
  <c r="M8" i="1"/>
  <c r="M9" i="1"/>
  <c r="M3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D3973F-736C-44A6-8FAD-2DEE9E9B654D}" keepAlive="1" name="Consulta - opam" description="Conexão com a consulta 'opam' na pasta de trabalho." type="5" refreshedVersion="0" background="1">
    <dbPr connection="Provider=Microsoft.Mashup.OleDb.1;Data Source=$Workbook$;Location=opam;Extended Properties=&quot;&quot;" command="SELECT * FROM [opam]"/>
  </connection>
</connections>
</file>

<file path=xl/sharedStrings.xml><?xml version="1.0" encoding="utf-8"?>
<sst xmlns="http://schemas.openxmlformats.org/spreadsheetml/2006/main" count="67" uniqueCount="46">
  <si>
    <t>ENDEREÇO</t>
  </si>
  <si>
    <t>QTD QUARTOS</t>
  </si>
  <si>
    <t>QTD BANHEIROS</t>
  </si>
  <si>
    <t>ALUGUEL</t>
  </si>
  <si>
    <t>CONDOMÍNIO</t>
  </si>
  <si>
    <t>IPTU</t>
  </si>
  <si>
    <t>LAZER</t>
  </si>
  <si>
    <t>VARANDA</t>
  </si>
  <si>
    <t>TIPO</t>
  </si>
  <si>
    <t>APARTAMENTO</t>
  </si>
  <si>
    <t>Qe 24 Cl Bloco A Loja 10, Guara II, Guará</t>
  </si>
  <si>
    <t>NÃO</t>
  </si>
  <si>
    <t>METRÔ</t>
  </si>
  <si>
    <t>GUARÁ</t>
  </si>
  <si>
    <t>Quadra QI 23 0, Guara II, Guará</t>
  </si>
  <si>
    <t>GUARITA, ELEVADOR, PLAYGROUND, QUADRA, BICICLETÁRIO</t>
  </si>
  <si>
    <t>Guará nobre</t>
  </si>
  <si>
    <t>Qi 23 Lote 13 Apto 509, Guara II, Guará</t>
  </si>
  <si>
    <t>SIM</t>
  </si>
  <si>
    <t>ELEVADOR, Quadra Poliesportiva, Playground e Churrasqueira</t>
  </si>
  <si>
    <t>Ed. Monalisa</t>
  </si>
  <si>
    <t>FEIRA</t>
  </si>
  <si>
    <t>Qi 11 Bloco H Apto 202, Guara I, Guará</t>
  </si>
  <si>
    <t>ACESSIBILIDADE</t>
  </si>
  <si>
    <t>ELEVADOR</t>
  </si>
  <si>
    <t>CASA</t>
  </si>
  <si>
    <t>Qe 9 Conjunto A Fundos, Guara I, Guará</t>
  </si>
  <si>
    <t>TÉRREO</t>
  </si>
  <si>
    <t>TOTAL MENSAL</t>
  </si>
  <si>
    <t>Qs 05 Praça 310 B Projeção A, Areal, Águas Claras</t>
  </si>
  <si>
    <t>Clube Verde - Areal - DF</t>
  </si>
  <si>
    <t>(61) 3202.1500 (WhatsApp)</t>
  </si>
  <si>
    <t>TAGUATINGA SUL</t>
  </si>
  <si>
    <t>??</t>
  </si>
  <si>
    <t>QS 5 Rua 100, Próximo ao Hospital Santa Lucia, Areal, Águas Claras</t>
  </si>
  <si>
    <t xml:space="preserve"> academia, piscina, churrasqueira e quadra</t>
  </si>
  <si>
    <t>CONTATO</t>
  </si>
  <si>
    <t>RESIDENCIAL</t>
  </si>
  <si>
    <t>6130379408 / 6198198-5564</t>
  </si>
  <si>
    <t>Site QuintoAndar</t>
  </si>
  <si>
    <t>(61) 3965-8787 / (61) 99144-8974</t>
  </si>
  <si>
    <t>Guará</t>
  </si>
  <si>
    <t>Águas claras</t>
  </si>
  <si>
    <t>Arniqueiras</t>
  </si>
  <si>
    <t xml:space="preserve">Região </t>
  </si>
  <si>
    <t xml:space="preserve">Área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</si>
</sst>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2" xfId="0" applyBorder="1"/>
    <xf numFmtId="164" fontId="0" fillId="0" borderId="2" xfId="0" applyNumberFormat="1" applyBorder="1"/>
    <xf numFmtId="0" fontId="0" fillId="0" borderId="3" xfId="0" applyBorder="1"/>
    <xf numFmtId="164" fontId="0" fillId="0" borderId="3" xfId="0" applyNumberFormat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0" fillId="0" borderId="6" xfId="0" applyNumberFormat="1" applyBorder="1"/>
    <xf numFmtId="0" fontId="0" fillId="0" borderId="7" xfId="0" applyBorder="1"/>
    <xf numFmtId="0" fontId="1" fillId="0" borderId="8" xfId="0" applyFont="1" applyBorder="1"/>
    <xf numFmtId="0" fontId="1" fillId="0" borderId="9" xfId="0" applyFont="1" applyBorder="1"/>
    <xf numFmtId="0" fontId="1" fillId="0" borderId="8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2" xfId="0" applyBorder="1" applyAlignment="1">
      <alignment wrapText="1"/>
    </xf>
    <xf numFmtId="0" fontId="1" fillId="0" borderId="10" xfId="0" applyFont="1" applyBorder="1" applyAlignment="1">
      <alignment wrapText="1"/>
    </xf>
    <xf numFmtId="0" fontId="0" fillId="0" borderId="11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4" xfId="0" applyBorder="1" applyAlignment="1">
      <alignment wrapText="1"/>
    </xf>
    <xf numFmtId="0" fontId="1" fillId="0" borderId="15" xfId="0" applyFon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1" fillId="0" borderId="1" xfId="0" applyFont="1" applyBorder="1"/>
    <xf numFmtId="0" fontId="0" fillId="0" borderId="20" xfId="0" applyBorder="1"/>
    <xf numFmtId="0" fontId="0" fillId="0" borderId="21" xfId="0" applyBorder="1"/>
    <xf numFmtId="0" fontId="0" fillId="0" borderId="20" xfId="0" applyBorder="1" applyAlignment="1">
      <alignment wrapText="1"/>
    </xf>
    <xf numFmtId="0" fontId="0" fillId="0" borderId="0" xfId="0" applyBorder="1"/>
    <xf numFmtId="0" fontId="0" fillId="0" borderId="0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4361-774F-4D8E-A1FE-4CBA9D959C15}">
  <dimension ref="A1:P16"/>
  <sheetViews>
    <sheetView tabSelected="1" zoomScale="85" zoomScaleNormal="85" workbookViewId="0">
      <selection activeCell="H16" sqref="H16"/>
    </sheetView>
  </sheetViews>
  <sheetFormatPr defaultRowHeight="14.4" x14ac:dyDescent="0.3"/>
  <cols>
    <col min="1" max="1" width="19.33203125" bestFit="1" customWidth="1"/>
    <col min="2" max="2" width="39.6640625" customWidth="1"/>
    <col min="3" max="3" width="14.33203125" bestFit="1" customWidth="1"/>
    <col min="4" max="4" width="13.6640625" bestFit="1" customWidth="1"/>
    <col min="5" max="5" width="15.44140625" bestFit="1" customWidth="1"/>
    <col min="7" max="7" width="9.6640625" bestFit="1" customWidth="1"/>
    <col min="8" max="8" width="30.88671875" style="1" customWidth="1"/>
    <col min="9" max="9" width="30.88671875" customWidth="1"/>
    <col min="10" max="10" width="16" bestFit="1" customWidth="1"/>
    <col min="11" max="11" width="10.6640625" bestFit="1" customWidth="1"/>
    <col min="12" max="12" width="13.5546875" bestFit="1" customWidth="1"/>
    <col min="13" max="13" width="14.5546875" bestFit="1" customWidth="1"/>
    <col min="14" max="14" width="9.33203125" bestFit="1" customWidth="1"/>
    <col min="15" max="15" width="14.33203125" style="1" customWidth="1"/>
    <col min="16" max="16" width="24.88671875" customWidth="1"/>
  </cols>
  <sheetData>
    <row r="1" spans="1:16" ht="15" thickBot="1" x14ac:dyDescent="0.35"/>
    <row r="2" spans="1:16" s="4" customFormat="1" ht="15" thickBot="1" x14ac:dyDescent="0.35">
      <c r="A2" s="32" t="s">
        <v>44</v>
      </c>
      <c r="B2" s="27" t="s">
        <v>0</v>
      </c>
      <c r="C2" s="16" t="s">
        <v>8</v>
      </c>
      <c r="D2" s="16" t="s">
        <v>1</v>
      </c>
      <c r="E2" s="16" t="s">
        <v>2</v>
      </c>
      <c r="F2" s="16" t="s">
        <v>45</v>
      </c>
      <c r="G2" s="16" t="s">
        <v>7</v>
      </c>
      <c r="H2" s="18" t="s">
        <v>6</v>
      </c>
      <c r="I2" s="16" t="s">
        <v>23</v>
      </c>
      <c r="J2" s="16" t="s">
        <v>12</v>
      </c>
      <c r="K2" s="16" t="s">
        <v>3</v>
      </c>
      <c r="L2" s="16" t="s">
        <v>4</v>
      </c>
      <c r="M2" s="16" t="s">
        <v>28</v>
      </c>
      <c r="N2" s="16" t="s">
        <v>5</v>
      </c>
      <c r="O2" s="22" t="s">
        <v>37</v>
      </c>
      <c r="P2" s="17" t="s">
        <v>36</v>
      </c>
    </row>
    <row r="3" spans="1:16" x14ac:dyDescent="0.3">
      <c r="A3" s="2" t="s">
        <v>41</v>
      </c>
      <c r="B3" s="28" t="s">
        <v>10</v>
      </c>
      <c r="C3" s="9" t="s">
        <v>9</v>
      </c>
      <c r="D3" s="9">
        <v>2</v>
      </c>
      <c r="E3" s="9">
        <v>1</v>
      </c>
      <c r="F3" s="9">
        <v>55</v>
      </c>
      <c r="G3" s="9" t="s">
        <v>11</v>
      </c>
      <c r="H3" s="19" t="s">
        <v>11</v>
      </c>
      <c r="I3" s="9" t="s">
        <v>11</v>
      </c>
      <c r="J3" s="9" t="s">
        <v>13</v>
      </c>
      <c r="K3" s="10">
        <v>2000</v>
      </c>
      <c r="L3" s="10">
        <v>536</v>
      </c>
      <c r="M3" s="10">
        <f>SUM(K3:L3)</f>
        <v>2536</v>
      </c>
      <c r="N3" s="10"/>
      <c r="O3" s="23"/>
      <c r="P3" s="11">
        <v>6130312200</v>
      </c>
    </row>
    <row r="4" spans="1:16" ht="43.2" x14ac:dyDescent="0.3">
      <c r="A4" s="2" t="s">
        <v>41</v>
      </c>
      <c r="B4" s="29" t="s">
        <v>14</v>
      </c>
      <c r="C4" s="2" t="s">
        <v>9</v>
      </c>
      <c r="D4" s="2">
        <v>2</v>
      </c>
      <c r="E4" s="2">
        <v>1</v>
      </c>
      <c r="F4" s="2">
        <v>47</v>
      </c>
      <c r="G4" s="2" t="s">
        <v>11</v>
      </c>
      <c r="H4" s="3" t="s">
        <v>15</v>
      </c>
      <c r="I4" s="3" t="s">
        <v>24</v>
      </c>
      <c r="J4" s="2" t="s">
        <v>13</v>
      </c>
      <c r="K4" s="5">
        <v>2500</v>
      </c>
      <c r="L4" s="5">
        <v>351</v>
      </c>
      <c r="M4" s="5">
        <f t="shared" ref="M4:M9" si="0">SUM(K4:L4)</f>
        <v>2851</v>
      </c>
      <c r="N4" s="5">
        <v>104</v>
      </c>
      <c r="O4" s="24" t="s">
        <v>16</v>
      </c>
      <c r="P4" s="12" t="s">
        <v>38</v>
      </c>
    </row>
    <row r="5" spans="1:16" ht="28.8" x14ac:dyDescent="0.3">
      <c r="A5" s="2" t="s">
        <v>41</v>
      </c>
      <c r="B5" s="29" t="s">
        <v>17</v>
      </c>
      <c r="C5" s="2" t="s">
        <v>9</v>
      </c>
      <c r="D5" s="2">
        <v>2</v>
      </c>
      <c r="E5" s="2">
        <v>2</v>
      </c>
      <c r="F5" s="2">
        <v>60</v>
      </c>
      <c r="G5" s="2" t="s">
        <v>18</v>
      </c>
      <c r="H5" s="3" t="s">
        <v>19</v>
      </c>
      <c r="I5" s="3" t="s">
        <v>24</v>
      </c>
      <c r="J5" s="2" t="s">
        <v>13</v>
      </c>
      <c r="K5" s="5">
        <v>2500</v>
      </c>
      <c r="L5" s="5">
        <v>687</v>
      </c>
      <c r="M5" s="6">
        <f t="shared" si="0"/>
        <v>3187</v>
      </c>
      <c r="N5" s="5">
        <v>928</v>
      </c>
      <c r="O5" s="24" t="s">
        <v>20</v>
      </c>
      <c r="P5" s="12">
        <v>6130312200</v>
      </c>
    </row>
    <row r="6" spans="1:16" x14ac:dyDescent="0.3">
      <c r="A6" s="2" t="s">
        <v>41</v>
      </c>
      <c r="B6" s="29" t="s">
        <v>22</v>
      </c>
      <c r="C6" s="2" t="s">
        <v>9</v>
      </c>
      <c r="D6" s="2">
        <v>2</v>
      </c>
      <c r="E6" s="2">
        <v>1</v>
      </c>
      <c r="F6" s="2">
        <v>55</v>
      </c>
      <c r="G6" s="2" t="s">
        <v>18</v>
      </c>
      <c r="H6" s="3"/>
      <c r="I6" s="2" t="s">
        <v>11</v>
      </c>
      <c r="J6" s="2" t="s">
        <v>21</v>
      </c>
      <c r="K6" s="5">
        <v>2100</v>
      </c>
      <c r="L6" s="5">
        <v>305</v>
      </c>
      <c r="M6" s="5">
        <f t="shared" si="0"/>
        <v>2405</v>
      </c>
      <c r="N6" s="5">
        <v>700</v>
      </c>
      <c r="O6" s="24"/>
      <c r="P6" s="12">
        <v>6130312200</v>
      </c>
    </row>
    <row r="7" spans="1:16" ht="15" thickBot="1" x14ac:dyDescent="0.35">
      <c r="A7" s="2" t="s">
        <v>41</v>
      </c>
      <c r="B7" s="30" t="s">
        <v>26</v>
      </c>
      <c r="C7" s="13" t="s">
        <v>25</v>
      </c>
      <c r="D7" s="13">
        <v>2</v>
      </c>
      <c r="E7" s="13">
        <v>1</v>
      </c>
      <c r="F7" s="13">
        <v>20</v>
      </c>
      <c r="G7" s="13" t="s">
        <v>11</v>
      </c>
      <c r="H7" s="20"/>
      <c r="I7" s="13" t="s">
        <v>27</v>
      </c>
      <c r="J7" s="13" t="s">
        <v>21</v>
      </c>
      <c r="K7" s="14">
        <v>2028</v>
      </c>
      <c r="L7" s="14"/>
      <c r="M7" s="14">
        <f t="shared" si="0"/>
        <v>2028</v>
      </c>
      <c r="N7" s="14">
        <v>115</v>
      </c>
      <c r="O7" s="25"/>
      <c r="P7" s="15" t="s">
        <v>39</v>
      </c>
    </row>
    <row r="8" spans="1:16" ht="28.8" x14ac:dyDescent="0.3">
      <c r="A8" s="2" t="s">
        <v>42</v>
      </c>
      <c r="B8" s="31" t="s">
        <v>29</v>
      </c>
      <c r="C8" s="7" t="s">
        <v>9</v>
      </c>
      <c r="D8" s="7">
        <v>3</v>
      </c>
      <c r="E8" s="7">
        <v>2</v>
      </c>
      <c r="F8" s="7">
        <v>76</v>
      </c>
      <c r="G8" s="7" t="s">
        <v>18</v>
      </c>
      <c r="H8" s="21"/>
      <c r="I8" s="7" t="s">
        <v>33</v>
      </c>
      <c r="J8" s="7" t="s">
        <v>32</v>
      </c>
      <c r="K8" s="8">
        <v>1800</v>
      </c>
      <c r="L8" s="8">
        <v>580</v>
      </c>
      <c r="M8" s="8">
        <f t="shared" si="0"/>
        <v>2380</v>
      </c>
      <c r="N8" s="8">
        <v>70</v>
      </c>
      <c r="O8" s="26" t="s">
        <v>30</v>
      </c>
      <c r="P8" s="7" t="s">
        <v>31</v>
      </c>
    </row>
    <row r="9" spans="1:16" ht="28.8" x14ac:dyDescent="0.3">
      <c r="A9" s="33" t="s">
        <v>43</v>
      </c>
      <c r="B9" s="34" t="s">
        <v>34</v>
      </c>
      <c r="C9" s="33" t="s">
        <v>9</v>
      </c>
      <c r="D9" s="33">
        <v>2</v>
      </c>
      <c r="E9" s="33">
        <v>1</v>
      </c>
      <c r="F9" s="33">
        <v>52</v>
      </c>
      <c r="G9" s="33" t="s">
        <v>11</v>
      </c>
      <c r="H9" s="35" t="s">
        <v>35</v>
      </c>
      <c r="I9" s="2"/>
      <c r="J9" s="2"/>
      <c r="K9" s="5">
        <v>2500</v>
      </c>
      <c r="L9" s="5">
        <v>640</v>
      </c>
      <c r="M9" s="5">
        <f t="shared" si="0"/>
        <v>3140</v>
      </c>
      <c r="N9" s="5"/>
      <c r="O9" s="24"/>
      <c r="P9" s="2" t="s">
        <v>40</v>
      </c>
    </row>
    <row r="10" spans="1:16" x14ac:dyDescent="0.3">
      <c r="A10" s="36"/>
      <c r="B10" s="36"/>
      <c r="C10" s="36"/>
      <c r="D10" s="36"/>
      <c r="E10" s="36"/>
      <c r="F10" s="36"/>
      <c r="G10" s="36"/>
      <c r="H10" s="37"/>
      <c r="I10" s="29"/>
      <c r="J10" s="2"/>
      <c r="K10" s="5"/>
      <c r="L10" s="5"/>
      <c r="M10" s="5"/>
      <c r="N10" s="5"/>
      <c r="O10" s="24"/>
      <c r="P10" s="2"/>
    </row>
    <row r="11" spans="1:16" x14ac:dyDescent="0.3">
      <c r="A11" s="36"/>
      <c r="B11" s="36"/>
      <c r="C11" s="36"/>
      <c r="D11" s="36"/>
      <c r="E11" s="36"/>
      <c r="F11" s="36"/>
      <c r="G11" s="36"/>
      <c r="H11" s="37"/>
      <c r="I11" s="29"/>
      <c r="J11" s="2"/>
      <c r="K11" s="5"/>
      <c r="L11" s="5"/>
      <c r="M11" s="5"/>
      <c r="N11" s="5"/>
      <c r="O11" s="24"/>
      <c r="P11" s="2"/>
    </row>
    <row r="12" spans="1:16" x14ac:dyDescent="0.3">
      <c r="A12" s="36"/>
      <c r="B12" s="36"/>
      <c r="C12" s="36"/>
      <c r="D12" s="36"/>
      <c r="E12" s="36"/>
      <c r="F12" s="36"/>
      <c r="G12" s="36"/>
      <c r="H12" s="37"/>
      <c r="I12" s="29"/>
      <c r="J12" s="2"/>
      <c r="K12" s="5"/>
      <c r="L12" s="5"/>
      <c r="M12" s="5"/>
      <c r="N12" s="5"/>
      <c r="O12" s="24"/>
      <c r="P12" s="2"/>
    </row>
    <row r="13" spans="1:16" x14ac:dyDescent="0.3">
      <c r="A13" s="36"/>
      <c r="B13" s="36"/>
      <c r="C13" s="36"/>
      <c r="D13" s="36"/>
      <c r="E13" s="36"/>
      <c r="F13" s="36"/>
      <c r="G13" s="36"/>
      <c r="H13" s="37"/>
      <c r="I13" s="29"/>
      <c r="J13" s="2"/>
      <c r="K13" s="5"/>
      <c r="L13" s="5"/>
      <c r="M13" s="5"/>
      <c r="N13" s="5"/>
      <c r="O13" s="24"/>
      <c r="P13" s="2"/>
    </row>
    <row r="14" spans="1:16" x14ac:dyDescent="0.3">
      <c r="A14" s="36"/>
      <c r="B14" s="36"/>
      <c r="C14" s="36"/>
      <c r="D14" s="36"/>
      <c r="E14" s="36"/>
      <c r="F14" s="36"/>
      <c r="G14" s="36"/>
      <c r="H14" s="37"/>
      <c r="I14" s="29"/>
      <c r="J14" s="2"/>
      <c r="K14" s="5"/>
      <c r="L14" s="5"/>
      <c r="M14" s="5"/>
      <c r="N14" s="5"/>
      <c r="O14" s="24"/>
      <c r="P14" s="2"/>
    </row>
    <row r="15" spans="1:16" x14ac:dyDescent="0.3">
      <c r="A15" s="36"/>
      <c r="B15" s="36"/>
      <c r="C15" s="36"/>
      <c r="D15" s="36"/>
      <c r="E15" s="36"/>
      <c r="F15" s="36"/>
      <c r="G15" s="36"/>
      <c r="H15" s="37"/>
      <c r="I15" s="29"/>
      <c r="J15" s="2"/>
      <c r="K15" s="5"/>
      <c r="L15" s="5"/>
      <c r="M15" s="5"/>
      <c r="N15" s="5"/>
      <c r="O15" s="24"/>
      <c r="P15" s="2"/>
    </row>
    <row r="16" spans="1:16" x14ac:dyDescent="0.3">
      <c r="A16" s="36"/>
      <c r="B16" s="36"/>
      <c r="C16" s="36"/>
      <c r="D16" s="36"/>
      <c r="E16" s="36"/>
      <c r="F16" s="36"/>
      <c r="G16" s="36"/>
      <c r="H16" s="37"/>
      <c r="I16" s="29"/>
      <c r="J16" s="2"/>
      <c r="K16" s="5"/>
      <c r="L16" s="5"/>
      <c r="M16" s="5"/>
      <c r="N16" s="5"/>
      <c r="O16" s="24"/>
      <c r="P16" s="2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B820C-E7AC-4943-B824-6C223ED71DC4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49EC8D-7A14-4D88-8DC7-97D76CC46C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Araujo Rodrigues</dc:creator>
  <cp:lastModifiedBy>Usuario</cp:lastModifiedBy>
  <dcterms:created xsi:type="dcterms:W3CDTF">2025-12-29T14:32:04Z</dcterms:created>
  <dcterms:modified xsi:type="dcterms:W3CDTF">2025-12-31T19:28:16Z</dcterms:modified>
</cp:coreProperties>
</file>