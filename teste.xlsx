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.gemini\antigravity\playground\inner-halo\"/>
    </mc:Choice>
  </mc:AlternateContent>
  <xr:revisionPtr revIDLastSave="0" documentId="13_ncr:1_{AF152976-F760-4DC5-AEAE-2B2E0170B130}" xr6:coauthVersionLast="47" xr6:coauthVersionMax="47" xr10:uidLastSave="{00000000-0000-0000-0000-000000000000}"/>
  <bookViews>
    <workbookView xWindow="-108" yWindow="-108" windowWidth="23256" windowHeight="12456" activeTab="1" xr2:uid="{94B63BE2-E6EF-42F5-B920-62FFA572FE9F}"/>
  </bookViews>
  <sheets>
    <sheet name="opam (2)" sheetId="3" r:id="rId1"/>
    <sheet name="Planilha1" sheetId="1" r:id="rId2"/>
  </sheets>
  <definedNames>
    <definedName name="DadosExternos_1" localSheetId="0" hidden="1">'opam (2)'!$A$1:$Q$12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M2" i="1"/>
  <c r="M3" i="3"/>
  <c r="M3" i="3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F9BEA3-4D91-44A8-BF31-FEA76FEBD812}" keepAlive="1" name="Consulta - opam" description="Conexão com a consulta 'opam' na pasta de trabalho." type="5" refreshedVersion="0" background="1">
    <dbPr connection="Provider=Microsoft.Mashup.OleDb.1;Data Source=$Workbook$;Location=opam;Extended Properties=&quot;&quot;" command="SELECT * FROM [opam]"/>
  </connection>
  <connection id="2" xr16:uid="{9F654421-3395-47B9-B328-B0E0D947B154}" keepAlive="1" name="Consulta - opam (2)" description="Conexão com a consulta 'opam (2)' na pasta de trabalho." type="5" refreshedVersion="8" background="1" saveData="1">
    <dbPr connection="Provider=Microsoft.Mashup.OleDb.1;Data Source=$Workbook$;Location=&quot;opam (2)&quot;;Extended Properties=&quot;&quot;" command="SELECT * FROM [opam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<sst xmlns="http://schemas.openxmlformats.org/spreadsheetml/2006/main" count="68" uniqueCount="30">
  <si>
    <t>Endereço</t>
  </si>
  <si>
    <t>TIPO</t>
  </si>
  <si>
    <t>QTD QUARTOS</t>
  </si>
  <si>
    <t>QTD BANHEIROS</t>
  </si>
  <si>
    <t>VARANDA</t>
  </si>
  <si>
    <t>LAZER</t>
  </si>
  <si>
    <t>ACESSIBILIDADE</t>
  </si>
  <si>
    <t>METRÔ</t>
  </si>
  <si>
    <t>ALUGUEL</t>
  </si>
  <si>
    <t>CONDOMÍNIO</t>
  </si>
  <si>
    <t>TOTAL MENSAL</t>
  </si>
  <si>
    <t>IPTU</t>
  </si>
  <si>
    <t>RESIDENCIAL</t>
  </si>
  <si>
    <t>CONTATO</t>
  </si>
  <si>
    <t>Link</t>
  </si>
  <si>
    <t>Taguatinga Sul</t>
  </si>
  <si>
    <t>Casa</t>
  </si>
  <si>
    <t xml:space="preserve">Região </t>
  </si>
  <si>
    <t>ÁREA</t>
  </si>
  <si>
    <t>QSF 1 casa 125, Taguatinga Sul, Taguatinga</t>
  </si>
  <si>
    <t>sim</t>
  </si>
  <si>
    <t>não</t>
  </si>
  <si>
    <t>térreo</t>
  </si>
  <si>
    <t>https://www.imovelweb.com.br/propriedades/excelente-casa-de-esquina-em-taguatinga-sul-2938315213.html</t>
  </si>
  <si>
    <t>Areal</t>
  </si>
  <si>
    <t>Qs 05, Rua 300 Lote 18 Bloco A, Areal, Águas Claras</t>
  </si>
  <si>
    <t>apartamento</t>
  </si>
  <si>
    <t>Churrasqueira, piscina, quadra de esportes</t>
  </si>
  <si>
    <t>elevador</t>
  </si>
  <si>
    <t>718 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</si>
</sst>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2" fillId="0" borderId="0" xfId="0" applyFont="1" applyAlignment="1">
      <alignment vertical="center" wrapText="1"/>
    </xf>
    <xf numFmtId="0" fontId="3" fillId="0" borderId="0" xfId="1"/>
    <xf numFmtId="0" fontId="1" fillId="0" borderId="0" xfId="0" applyFont="1" applyAlignment="1">
      <alignment vertical="center" wrapText="1"/>
    </xf>
    <xf numFmtId="0" fontId="2" fillId="0" borderId="0" xfId="0" applyFont="1"/>
    <xf numFmtId="1" fontId="0" fillId="0" borderId="0" xfId="0" applyNumberFormat="1"/>
  </cellXfs>
  <cellStyles count="2">
    <cellStyle name="Hiperlink" xfId="1" builtinId="8"/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2667D3CF-5FEC-486A-A24D-985780A9BB34}" autoFormatId="16" applyNumberFormats="0" applyBorderFormats="0" applyFontFormats="0" applyPatternFormats="0" applyAlignmentFormats="0" applyWidthHeightFormats="0">
  <queryTableRefresh nextId="18">
    <queryTableFields count="17">
      <queryTableField id="1" name="Região Administrativa" tableColumnId="1"/>
      <queryTableField id="2" name="Endereço" tableColumnId="2"/>
      <queryTableField id="3" name="TIPO" tableColumnId="3"/>
      <queryTableField id="4" name="QTD QUARTOS" tableColumnId="4"/>
      <queryTableField id="5" name="QTD BANHEIROS" tableColumnId="5"/>
      <queryTableField id="6" name="ÁREA M²" tableColumnId="6"/>
      <queryTableField id="7" name="VARANDA" tableColumnId="7"/>
      <queryTableField id="8" name="LAZER" tableColumnId="8"/>
      <queryTableField id="9" name="ACESSIBILIDADE" tableColumnId="9"/>
      <queryTableField id="10" name="METRÔ" tableColumnId="10"/>
      <queryTableField id="11" name="ALUGUEL" tableColumnId="11"/>
      <queryTableField id="12" name="CONDOMÍNIO" tableColumnId="12"/>
      <queryTableField id="13" name="TOTAL MENSAL" tableColumnId="13"/>
      <queryTableField id="14" name="IPTU" tableColumnId="14"/>
      <queryTableField id="15" name="RESIDENCIAL" tableColumnId="15"/>
      <queryTableField id="16" name="CONTATO" tableColumnId="16"/>
      <queryTableField id="17" name="Link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098D3C-26BD-4BC6-BD17-F8CEB2C39364}" name="opam__2" displayName="opam__2" ref="A1:Q12" tableType="queryTable" totalsRowShown="0">
  <autoFilter ref="A1:Q12" xr:uid="{B0098D3C-26BD-4BC6-BD17-F8CEB2C39364}"/>
  <tableColumns count="17">
    <tableColumn id="1" xr3:uid="{D376CA52-081D-4D04-9C04-315610D12E80}" uniqueName="1" name="Região " queryTableFieldId="1" dataDxfId="9"/>
    <tableColumn id="2" xr3:uid="{6116A08E-87B8-494E-B150-8A27D0D05AEF}" uniqueName="2" name="Endereço" queryTableFieldId="2" dataDxfId="8"/>
    <tableColumn id="3" xr3:uid="{9A7055A1-6489-4604-9971-77813C6C9D33}" uniqueName="3" name="TIPO" queryTableFieldId="3" dataDxfId="7"/>
    <tableColumn id="4" xr3:uid="{7F291652-0B5B-4288-BD4D-C988BF641035}" uniqueName="4" name="QTD QUARTOS" queryTableFieldId="4"/>
    <tableColumn id="5" xr3:uid="{F0A383EA-3E82-487A-A673-CF511522AC0F}" uniqueName="5" name="QTD BANHEIROS" queryTableFieldId="5"/>
    <tableColumn id="6" xr3:uid="{3787718D-657A-41B9-8D91-33477265A3C9}" uniqueName="6" name="ÁREA" queryTableFieldId="6"/>
    <tableColumn id="7" xr3:uid="{BA7482FD-7877-43E4-AB87-EFCA9D2B6AD8}" uniqueName="7" name="VARANDA" queryTableFieldId="7" dataDxfId="6"/>
    <tableColumn id="8" xr3:uid="{AE2295BF-83FE-480C-AC47-B713DD32C6C4}" uniqueName="8" name="LAZER" queryTableFieldId="8" dataDxfId="5"/>
    <tableColumn id="9" xr3:uid="{0CA01A44-26F1-43F1-B9BB-51776D1CC8BA}" uniqueName="9" name="ACESSIBILIDADE" queryTableFieldId="9" dataDxfId="4"/>
    <tableColumn id="10" xr3:uid="{CE9A0945-E160-4D52-8A0F-1243A52E36FE}" uniqueName="10" name="METRÔ" queryTableFieldId="10" dataDxfId="3"/>
    <tableColumn id="11" xr3:uid="{07ED046F-57BF-4393-8595-F10E037A7AE8}" uniqueName="11" name="ALUGUEL" queryTableFieldId="11"/>
    <tableColumn id="12" xr3:uid="{9547AC78-3ACD-41D1-8796-412C3394AF6B}" uniqueName="12" name="CONDOMÍNIO" queryTableFieldId="12"/>
    <tableColumn id="13" xr3:uid="{CF25B46A-F5B2-4EC1-BE93-9D9AA0B82086}" uniqueName="13" name="TOTAL MENSAL" queryTableFieldId="13"/>
    <tableColumn id="14" xr3:uid="{83143E89-76C1-4E4F-A15C-7337F4464985}" uniqueName="14" name="IPTU" queryTableFieldId="14" dataDxfId="2"/>
    <tableColumn id="15" xr3:uid="{551BD72A-83E4-4995-AF18-F5F86B361FCA}" uniqueName="15" name="RESIDENCIAL" queryTableFieldId="15" dataDxfId="1"/>
    <tableColumn id="16" xr3:uid="{592268CE-3B83-4500-BAF7-2820C1B5D332}" uniqueName="16" name="CONTATO" queryTableFieldId="16" dataDxfId="0"/>
    <tableColumn id="17" xr3:uid="{680AE8EC-B3D4-4604-8476-B2B0A4DED5A2}" uniqueName="17" name="Link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imovelweb.com.br/propriedades/excelente-casa-de-esquina-em-taguatinga-sul-293831521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ADC41-F687-45CE-9DA9-DAC5EF25F003}">
  <dimension ref="A1:Q12"/>
  <sheetViews>
    <sheetView topLeftCell="I1" zoomScale="130" zoomScaleNormal="130" workbookViewId="0">
      <selection activeCell="I1" sqref="A1:XFD1"/>
    </sheetView>
  </sheetViews>
  <sheetFormatPr defaultRowHeight="14.4" x14ac:dyDescent="0.3"/>
  <cols>
    <col min="1" max="1" width="21.6640625" bestFit="1" customWidth="1"/>
    <col min="2" max="2" width="35.77734375" bestFit="1" customWidth="1"/>
    <col min="3" max="3" width="7.109375" bestFit="1" customWidth="1"/>
    <col min="4" max="4" width="15.109375" bestFit="1" customWidth="1"/>
    <col min="5" max="5" width="17.109375" bestFit="1" customWidth="1"/>
    <col min="6" max="6" width="10" bestFit="1" customWidth="1"/>
    <col min="7" max="7" width="11.33203125" bestFit="1" customWidth="1"/>
    <col min="8" max="8" width="36.21875" bestFit="1" customWidth="1"/>
    <col min="9" max="9" width="17.109375" bestFit="1" customWidth="1"/>
    <col min="10" max="10" width="12.5546875" bestFit="1" customWidth="1"/>
    <col min="11" max="11" width="10.88671875" bestFit="1" customWidth="1"/>
    <col min="12" max="12" width="14.88671875" bestFit="1" customWidth="1"/>
    <col min="13" max="13" width="15.6640625" bestFit="1" customWidth="1"/>
    <col min="14" max="14" width="8.6640625" bestFit="1" customWidth="1"/>
    <col min="15" max="15" width="16.88671875" bestFit="1" customWidth="1"/>
    <col min="16" max="16" width="14.109375" bestFit="1" customWidth="1"/>
    <col min="17" max="17" width="6.6640625" bestFit="1" customWidth="1"/>
  </cols>
  <sheetData>
    <row r="1" spans="1:17" x14ac:dyDescent="0.3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18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ht="15" x14ac:dyDescent="0.3">
      <c r="A2" s="2" t="s">
        <v>15</v>
      </c>
      <c r="B2" s="1" t="s">
        <v>19</v>
      </c>
      <c r="C2" s="1" t="s">
        <v>16</v>
      </c>
      <c r="D2">
        <v>2</v>
      </c>
      <c r="E2">
        <v>1</v>
      </c>
      <c r="F2">
        <v>72</v>
      </c>
      <c r="G2" s="1" t="s">
        <v>20</v>
      </c>
      <c r="H2" s="1" t="s">
        <v>21</v>
      </c>
      <c r="I2" s="1" t="s">
        <v>22</v>
      </c>
      <c r="J2" s="1" t="s">
        <v>15</v>
      </c>
      <c r="K2">
        <v>1850</v>
      </c>
      <c r="L2">
        <v>0</v>
      </c>
      <c r="M2">
        <v>1850</v>
      </c>
      <c r="N2" s="1">
        <v>0</v>
      </c>
      <c r="O2" s="1" t="s">
        <v>21</v>
      </c>
      <c r="P2" s="1">
        <v>61981019903</v>
      </c>
      <c r="Q2" s="3" t="s">
        <v>23</v>
      </c>
    </row>
    <row r="3" spans="1:17" ht="27.6" x14ac:dyDescent="0.3">
      <c r="A3" s="1" t="s">
        <v>24</v>
      </c>
      <c r="B3" s="4" t="s">
        <v>25</v>
      </c>
      <c r="C3" s="1" t="s">
        <v>26</v>
      </c>
      <c r="D3">
        <v>2</v>
      </c>
      <c r="E3">
        <v>2</v>
      </c>
      <c r="F3">
        <v>50</v>
      </c>
      <c r="G3" s="1" t="s">
        <v>20</v>
      </c>
      <c r="H3" s="1" t="s">
        <v>27</v>
      </c>
      <c r="I3" s="1" t="s">
        <v>28</v>
      </c>
      <c r="J3" s="1" t="s">
        <v>15</v>
      </c>
      <c r="K3">
        <v>1800</v>
      </c>
      <c r="L3" s="5" t="s">
        <v>29</v>
      </c>
      <c r="M3" cm="1">
        <f t="array" aca="1" ref="M3" ca="1">opam__2[]</f>
        <v>0</v>
      </c>
      <c r="N3" s="5">
        <v>1264</v>
      </c>
      <c r="O3" s="1"/>
      <c r="P3" s="1"/>
    </row>
    <row r="4" spans="1:17" x14ac:dyDescent="0.3">
      <c r="A4" s="1"/>
      <c r="B4" s="1"/>
      <c r="C4" s="1"/>
      <c r="G4" s="1"/>
      <c r="H4" s="1"/>
      <c r="I4" s="1"/>
      <c r="J4" s="1"/>
      <c r="N4" s="1"/>
      <c r="O4" s="1"/>
      <c r="P4" s="1"/>
    </row>
    <row r="5" spans="1:17" x14ac:dyDescent="0.3">
      <c r="A5" s="1"/>
      <c r="B5" s="1"/>
      <c r="C5" s="1"/>
      <c r="G5" s="1"/>
      <c r="H5" s="1"/>
      <c r="I5" s="1"/>
      <c r="J5" s="1"/>
      <c r="N5" s="1"/>
      <c r="O5" s="1"/>
      <c r="P5" s="1"/>
    </row>
    <row r="6" spans="1:17" x14ac:dyDescent="0.3">
      <c r="A6" s="1"/>
      <c r="B6" s="1"/>
      <c r="C6" s="1"/>
      <c r="G6" s="1"/>
      <c r="H6" s="1"/>
      <c r="I6" s="1"/>
      <c r="J6" s="1"/>
      <c r="N6" s="1"/>
      <c r="O6" s="1"/>
      <c r="P6" s="1"/>
    </row>
    <row r="7" spans="1:17" x14ac:dyDescent="0.3">
      <c r="A7" s="1"/>
      <c r="B7" s="1"/>
      <c r="C7" s="1"/>
      <c r="G7" s="1"/>
      <c r="H7" s="1"/>
      <c r="I7" s="1"/>
      <c r="J7" s="1"/>
      <c r="N7" s="1"/>
      <c r="O7" s="1"/>
      <c r="P7" s="1"/>
    </row>
    <row r="8" spans="1:17" x14ac:dyDescent="0.3">
      <c r="A8" s="1"/>
      <c r="B8" s="1"/>
      <c r="C8" s="1"/>
      <c r="G8" s="1"/>
      <c r="H8" s="1"/>
      <c r="I8" s="1"/>
      <c r="J8" s="1"/>
      <c r="N8" s="1"/>
      <c r="O8" s="1"/>
      <c r="P8" s="1"/>
    </row>
    <row r="9" spans="1:17" x14ac:dyDescent="0.3">
      <c r="A9" s="1"/>
      <c r="B9" s="1"/>
      <c r="C9" s="1"/>
      <c r="G9" s="1"/>
      <c r="H9" s="1"/>
      <c r="I9" s="1"/>
      <c r="J9" s="1"/>
      <c r="N9" s="1"/>
      <c r="O9" s="1"/>
      <c r="P9" s="1"/>
    </row>
    <row r="10" spans="1:17" x14ac:dyDescent="0.3">
      <c r="A10" s="1"/>
      <c r="B10" s="1"/>
      <c r="C10" s="1"/>
      <c r="G10" s="1"/>
      <c r="H10" s="1"/>
      <c r="I10" s="1"/>
      <c r="J10" s="1"/>
      <c r="N10" s="1"/>
      <c r="O10" s="1"/>
      <c r="P10" s="1"/>
    </row>
    <row r="11" spans="1:17" x14ac:dyDescent="0.3">
      <c r="A11" s="1"/>
      <c r="B11" s="1"/>
      <c r="C11" s="1"/>
      <c r="G11" s="1"/>
      <c r="H11" s="1"/>
      <c r="I11" s="1"/>
      <c r="J11" s="1"/>
      <c r="N11" s="1"/>
      <c r="O11" s="1"/>
      <c r="P11" s="1"/>
    </row>
    <row r="12" spans="1:17" x14ac:dyDescent="0.3">
      <c r="A12" s="1"/>
      <c r="B12" s="1"/>
      <c r="C12" s="1"/>
      <c r="G12" s="1"/>
      <c r="H12" s="1"/>
      <c r="I12" s="1"/>
      <c r="J12" s="1"/>
      <c r="N12" s="1"/>
      <c r="O12" s="1"/>
      <c r="P12" s="1"/>
    </row>
  </sheetData>
  <hyperlinks>
    <hyperlink ref="Q2" r:id="rId1" xr:uid="{9B4D511E-22E3-4718-89F6-FCF3ACC9294D}"/>
  </hyperlinks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D23DF-D17C-4E22-8621-E81B8115963D}">
  <dimension ref="A1:Q3"/>
  <sheetViews>
    <sheetView tabSelected="1" workbookViewId="0">
      <selection activeCell="G2" sqref="G2"/>
    </sheetView>
  </sheetViews>
  <sheetFormatPr defaultRowHeight="14.4" x14ac:dyDescent="0.3"/>
  <cols>
    <col min="1" max="1" width="12.44140625" bestFit="1" customWidth="1"/>
    <col min="11" max="11" width="9.21875" bestFit="1" customWidth="1"/>
    <col min="13" max="13" width="13.33203125" bestFit="1" customWidth="1"/>
    <col min="16" max="16" width="15.6640625" bestFit="1" customWidth="1"/>
  </cols>
  <sheetData>
    <row r="1" spans="1:17" x14ac:dyDescent="0.3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18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3">
      <c r="A2" t="s">
        <v>15</v>
      </c>
      <c r="B2" t="s">
        <v>19</v>
      </c>
      <c r="C2" t="s">
        <v>16</v>
      </c>
      <c r="D2">
        <v>2</v>
      </c>
      <c r="E2">
        <v>1</v>
      </c>
      <c r="F2">
        <v>72</v>
      </c>
      <c r="G2" t="s">
        <v>20</v>
      </c>
      <c r="H2" t="s">
        <v>21</v>
      </c>
      <c r="I2" t="s">
        <v>22</v>
      </c>
      <c r="J2" t="s">
        <v>15</v>
      </c>
      <c r="K2">
        <v>1850</v>
      </c>
      <c r="L2">
        <v>0</v>
      </c>
      <c r="M2" s="1">
        <f xml:space="preserve"> K2+L2+N2</f>
        <v>1850</v>
      </c>
      <c r="N2">
        <v>0</v>
      </c>
      <c r="O2" t="s">
        <v>21</v>
      </c>
      <c r="P2" s="6">
        <v>61981019903</v>
      </c>
      <c r="Q2" t="s">
        <v>23</v>
      </c>
    </row>
    <row r="3" spans="1:17" x14ac:dyDescent="0.3">
      <c r="A3" t="s">
        <v>24</v>
      </c>
      <c r="B3" t="s">
        <v>25</v>
      </c>
      <c r="C3" t="s">
        <v>26</v>
      </c>
      <c r="D3">
        <v>2</v>
      </c>
      <c r="E3">
        <v>2</v>
      </c>
      <c r="F3">
        <v>50</v>
      </c>
      <c r="G3" t="s">
        <v>20</v>
      </c>
      <c r="H3" t="s">
        <v>27</v>
      </c>
      <c r="I3" t="s">
        <v>28</v>
      </c>
      <c r="J3" t="s">
        <v>15</v>
      </c>
      <c r="K3">
        <v>1800</v>
      </c>
      <c r="L3" s="1" t="s">
        <v>29</v>
      </c>
      <c r="M3" t="e">
        <f xml:space="preserve"> K3+L3+N3</f>
        <v>#VALUE!</v>
      </c>
      <c r="N3">
        <v>1264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3A9F0D-8264-4DB2-8EC3-231419A7BE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opam (2)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2025-12-31T04:59:33Z</dcterms:created>
  <dcterms:modified xsi:type="dcterms:W3CDTF">2025-12-31T21:40:05Z</dcterms:modified>
</cp:coreProperties>
</file>